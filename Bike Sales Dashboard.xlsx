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D8D2F407-3970-4511-9928-8E6D1B007182}"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 sheetId="3" r:id="rId2"/>
    <sheet name="Dashboard" sheetId="2"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<sst xmlns="http://schemas.openxmlformats.org/spreadsheetml/2006/main" count="8046" uniqueCount="47">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</sst>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0" fillId="0" borderId="0" xfId="0" applyAlignment="1">
      <alignment vertic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Avearge Invome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Table'!$B$6:$B$8</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B0A1-4F06-909B-CE4288FD4503}"/>
            </c:ext>
          </c:extLst>
        </c:ser>
        <c:ser>
          <c:idx val="1"/>
          <c:order val="1"/>
          <c:tx>
            <c:strRef>
              <c:f>'Pivot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Table'!$C$6:$C$8</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B0A1-4F06-909B-CE4288FD4503}"/>
            </c:ext>
          </c:extLst>
        </c:ser>
        <c:dLbls>
          <c:dLblPos val="outEnd"/>
          <c:showLegendKey val="0"/>
          <c:showVal val="0"/>
          <c:showCatName val="0"/>
          <c:showSerName val="0"/>
          <c:showPercent val="0"/>
          <c:showBubbleSize val="0"/>
        </c:dLbls>
        <c:gapWidth val="100"/>
        <c:overlap val="-24"/>
        <c:axId val="1334823264"/>
        <c:axId val="1377452752"/>
      </c:barChart>
      <c:catAx>
        <c:axId val="1334823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52752"/>
        <c:crosses val="autoZero"/>
        <c:auto val="1"/>
        <c:lblAlgn val="ctr"/>
        <c:lblOffset val="100"/>
        <c:noMultiLvlLbl val="0"/>
      </c:catAx>
      <c:valAx>
        <c:axId val="13774527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23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Ciommute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4249781277340332"/>
          <c:w val="0.6651968503937008"/>
          <c:h val="0.60744528581436896"/>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6D-4F4A-B858-D20AC3F2707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6D-4F4A-B858-D20AC3F27077}"/>
            </c:ext>
          </c:extLst>
        </c:ser>
        <c:dLbls>
          <c:showLegendKey val="0"/>
          <c:showVal val="0"/>
          <c:showCatName val="0"/>
          <c:showSerName val="0"/>
          <c:showPercent val="0"/>
          <c:showBubbleSize val="0"/>
        </c:dLbls>
        <c:smooth val="0"/>
        <c:axId val="1386083488"/>
        <c:axId val="1377453232"/>
      </c:lineChart>
      <c:catAx>
        <c:axId val="138608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53232"/>
        <c:crosses val="autoZero"/>
        <c:auto val="1"/>
        <c:lblAlgn val="ctr"/>
        <c:lblOffset val="100"/>
        <c:noMultiLvlLbl val="0"/>
      </c:catAx>
      <c:valAx>
        <c:axId val="137745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61D-4A88-AE54-201653C2981C}"/>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61D-4A88-AE54-201653C2981C}"/>
            </c:ext>
          </c:extLst>
        </c:ser>
        <c:dLbls>
          <c:showLegendKey val="0"/>
          <c:showVal val="0"/>
          <c:showCatName val="0"/>
          <c:showSerName val="0"/>
          <c:showPercent val="0"/>
          <c:showBubbleSize val="0"/>
        </c:dLbls>
        <c:marker val="1"/>
        <c:smooth val="0"/>
        <c:axId val="1451583392"/>
        <c:axId val="1377511792"/>
      </c:lineChart>
      <c:catAx>
        <c:axId val="145158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11792"/>
        <c:crosses val="autoZero"/>
        <c:auto val="1"/>
        <c:lblAlgn val="ctr"/>
        <c:lblOffset val="100"/>
        <c:noMultiLvlLbl val="0"/>
      </c:catAx>
      <c:valAx>
        <c:axId val="137751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58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Avearge Invome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Table'!$B$6:$B$8</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BC39-4302-84D9-10CB60B78C68}"/>
            </c:ext>
          </c:extLst>
        </c:ser>
        <c:ser>
          <c:idx val="1"/>
          <c:order val="1"/>
          <c:tx>
            <c:strRef>
              <c:f>'Pivot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Table'!$C$6:$C$8</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BC39-4302-84D9-10CB60B78C68}"/>
            </c:ext>
          </c:extLst>
        </c:ser>
        <c:dLbls>
          <c:showLegendKey val="0"/>
          <c:showVal val="0"/>
          <c:showCatName val="0"/>
          <c:showSerName val="0"/>
          <c:showPercent val="0"/>
          <c:showBubbleSize val="0"/>
        </c:dLbls>
        <c:gapWidth val="100"/>
        <c:overlap val="-24"/>
        <c:axId val="1334823264"/>
        <c:axId val="1377452752"/>
      </c:barChart>
      <c:catAx>
        <c:axId val="1334823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52752"/>
        <c:crosses val="autoZero"/>
        <c:auto val="1"/>
        <c:lblAlgn val="ctr"/>
        <c:lblOffset val="100"/>
        <c:noMultiLvlLbl val="0"/>
      </c:catAx>
      <c:valAx>
        <c:axId val="13774527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23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Ciommute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4249781277340332"/>
          <c:w val="0.6651968503937008"/>
          <c:h val="0.60744528581436896"/>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C57-4E11-8EF1-6CE70526C72F}"/>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C57-4E11-8EF1-6CE70526C72F}"/>
            </c:ext>
          </c:extLst>
        </c:ser>
        <c:dLbls>
          <c:showLegendKey val="0"/>
          <c:showVal val="0"/>
          <c:showCatName val="0"/>
          <c:showSerName val="0"/>
          <c:showPercent val="0"/>
          <c:showBubbleSize val="0"/>
        </c:dLbls>
        <c:smooth val="0"/>
        <c:axId val="1386083488"/>
        <c:axId val="1377453232"/>
      </c:lineChart>
      <c:catAx>
        <c:axId val="138608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53232"/>
        <c:crosses val="autoZero"/>
        <c:auto val="1"/>
        <c:lblAlgn val="ctr"/>
        <c:lblOffset val="100"/>
        <c:noMultiLvlLbl val="0"/>
      </c:catAx>
      <c:valAx>
        <c:axId val="137745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0.120605976884468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343-4333-8336-2516CEB2BC80}"/>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343-4333-8336-2516CEB2BC80}"/>
            </c:ext>
          </c:extLst>
        </c:ser>
        <c:dLbls>
          <c:showLegendKey val="0"/>
          <c:showVal val="0"/>
          <c:showCatName val="0"/>
          <c:showSerName val="0"/>
          <c:showPercent val="0"/>
          <c:showBubbleSize val="0"/>
        </c:dLbls>
        <c:marker val="1"/>
        <c:smooth val="0"/>
        <c:axId val="1451583392"/>
        <c:axId val="1377511792"/>
      </c:lineChart>
      <c:catAx>
        <c:axId val="145158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11792"/>
        <c:crosses val="autoZero"/>
        <c:auto val="1"/>
        <c:lblAlgn val="ctr"/>
        <c:lblOffset val="100"/>
        <c:noMultiLvlLbl val="0"/>
      </c:catAx>
      <c:valAx>
        <c:axId val="137751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58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182880</xdr:colOff>
      <xdr:row>0</xdr:row>
      <xdr:rowOff>118110</xdr:rowOff>
    </xdr:from>
    <xdr:to>
      <xdr:col>12</xdr:col>
      <xdr:colOff>487680</xdr:colOff>
      <xdr:row>15</xdr:row>
      <xdr:rowOff>118110</xdr:rowOff>
    </xdr:to>
    <xdr:graphicFrame macro="">
      <xdr:nvGraphicFramePr>
        <xdr:cNvPr id="3" name="Chart 2">
          <a:extLst>
            <a:ext uri="{FF2B5EF4-FFF2-40B4-BE49-F238E27FC236}">
              <a16:creationId xmlns:a16="http://schemas.microsoft.com/office/drawing/2014/main" id="{79783C43-C615-44C5-1C4E-2437ED2B9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20</xdr:row>
      <xdr:rowOff>110490</xdr:rowOff>
    </xdr:from>
    <xdr:to>
      <xdr:col>12</xdr:col>
      <xdr:colOff>502920</xdr:colOff>
      <xdr:row>36</xdr:row>
      <xdr:rowOff>167640</xdr:rowOff>
    </xdr:to>
    <xdr:graphicFrame macro="">
      <xdr:nvGraphicFramePr>
        <xdr:cNvPr id="4" name="Chart 3">
          <a:extLst>
            <a:ext uri="{FF2B5EF4-FFF2-40B4-BE49-F238E27FC236}">
              <a16:creationId xmlns:a16="http://schemas.microsoft.com/office/drawing/2014/main" id="{FB077111-A060-35B4-2D17-C7776C0C6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312420</xdr:colOff>
      <xdr:row>41</xdr:row>
      <xdr:rowOff>64770</xdr:rowOff>
    </xdr:from>
    <xdr:to>
      <xdr:col>13</xdr:col>
      <xdr:colOff>7620</xdr:colOff>
      <xdr:row>56</xdr:row>
      <xdr:rowOff>64770</xdr:rowOff>
    </xdr:to>
    <xdr:graphicFrame macro="">
      <xdr:nvGraphicFramePr>
        <xdr:cNvPr id="5" name="Chart 4">
          <a:extLst>
            <a:ext uri="{FF2B5EF4-FFF2-40B4-BE49-F238E27FC236}">
              <a16:creationId xmlns:a16="http://schemas.microsoft.com/office/drawing/2014/main" id="{9C9F6A1F-D74D-8271-47E0-8336FF642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262890</xdr:colOff>
      <xdr:row>6</xdr:row>
      <xdr:rowOff>19050</xdr:rowOff>
    </xdr:from>
    <xdr:to>
      <xdr:col>8</xdr:col>
      <xdr:colOff>510540</xdr:colOff>
      <xdr:row>20</xdr:row>
      <xdr:rowOff>9525</xdr:rowOff>
    </xdr:to>
    <xdr:graphicFrame macro="">
      <xdr:nvGraphicFramePr>
        <xdr:cNvPr id="2" name="Chart 1">
          <a:extLst>
            <a:ext uri="{FF2B5EF4-FFF2-40B4-BE49-F238E27FC236}">
              <a16:creationId xmlns:a16="http://schemas.microsoft.com/office/drawing/2014/main" id="{F922B942-C21F-42B6-AE81-D334E6FCB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262890</xdr:colOff>
      <xdr:row>20</xdr:row>
      <xdr:rowOff>76200</xdr:rowOff>
    </xdr:from>
    <xdr:to>
      <xdr:col>15</xdr:col>
      <xdr:colOff>0</xdr:colOff>
      <xdr:row>33</xdr:row>
      <xdr:rowOff>76200</xdr:rowOff>
    </xdr:to>
    <xdr:graphicFrame macro="">
      <xdr:nvGraphicFramePr>
        <xdr:cNvPr id="3" name="Chart 2">
          <a:extLst>
            <a:ext uri="{FF2B5EF4-FFF2-40B4-BE49-F238E27FC236}">
              <a16:creationId xmlns:a16="http://schemas.microsoft.com/office/drawing/2014/main" id="{4961DDD0-6C1B-461A-832E-3CC7C6AF6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565574</xdr:colOff>
      <xdr:row>6</xdr:row>
      <xdr:rowOff>19050</xdr:rowOff>
    </xdr:from>
    <xdr:to>
      <xdr:col>15</xdr:col>
      <xdr:colOff>0</xdr:colOff>
      <xdr:row>20</xdr:row>
      <xdr:rowOff>13334</xdr:rowOff>
    </xdr:to>
    <xdr:graphicFrame macro="">
      <xdr:nvGraphicFramePr>
        <xdr:cNvPr id="4" name="Chart 3">
          <a:extLst>
            <a:ext uri="{FF2B5EF4-FFF2-40B4-BE49-F238E27FC236}">
              <a16:creationId xmlns:a16="http://schemas.microsoft.com/office/drawing/2014/main" id="{2D4C20F5-5A89-42A9-B325-08E8991A0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13335</xdr:rowOff>
    </xdr:from>
    <xdr:to>
      <xdr:col>2</xdr:col>
      <xdr:colOff>257175</xdr:colOff>
      <xdr:row>11</xdr:row>
      <xdr:rowOff>9525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30A0F2E-EC05-45A0-5D1F-887D2F4C63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9185"/>
              <a:ext cx="1476375" cy="90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131445</xdr:rowOff>
    </xdr:from>
    <xdr:to>
      <xdr:col>2</xdr:col>
      <xdr:colOff>247650</xdr:colOff>
      <xdr:row>27</xdr:row>
      <xdr:rowOff>66674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B0CEBAE-76EC-9E35-4AA0-FDA441CBD22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08020"/>
              <a:ext cx="146685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40005</xdr:rowOff>
    </xdr:from>
    <xdr:to>
      <xdr:col>2</xdr:col>
      <xdr:colOff>247650</xdr:colOff>
      <xdr:row>17</xdr:row>
      <xdr:rowOff>104775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A9EA953-C903-4AB7-4F6B-0DB62008BE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30730"/>
              <a:ext cx="146685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585740625" createdVersion="8" refreshedVersion="8" minRefreshableVersion="3" recordCount="1000" xr:uid="{23252519-0639-4912-9167-DFF0B24B95BB}">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261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BBA34-C9FF-4A01-9CFF-D8970D35DBB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D5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D03A5-8CCE-41FE-BDCD-963277FB176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3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D4BB4-4F25-4C69-9D77-9B37AA0484C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47007A-6BEA-4B43-8BD2-4B6F3005E9EE}" sourceName="Marital Status">
  <pivotTables>
    <pivotTable tabId="3" name="PivotTable1"/>
    <pivotTable tabId="3" name="PivotTable2"/>
    <pivotTable tabId="3" name="PivotTable3"/>
  </pivotTables>
  <data>
    <tabular pivotCacheId="1842614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A87D687-CFEE-49B1-8E6D-C9399EF83732}" sourceName="Education">
  <pivotTables>
    <pivotTable tabId="3" name="PivotTable1"/>
    <pivotTable tabId="3" name="PivotTable2"/>
    <pivotTable tabId="3" name="PivotTable3"/>
  </pivotTables>
  <data>
    <tabular pivotCacheId="1842614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D36E40-A44F-4198-8215-645FBB91CDD1}" sourceName="Region">
  <pivotTables>
    <pivotTable tabId="3" name="PivotTable1"/>
    <pivotTable tabId="3" name="PivotTable2"/>
    <pivotTable tabId="3" name="PivotTable3"/>
  </pivotTables>
  <data>
    <tabular pivotCacheId="1842614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DD38DBA-BD29-4E3D-9CFD-6A29B5A89478}" cache="Slicer_Marital_Status" caption="Marital Status" rowHeight="234950"/>
  <slicer name="Education" xr10:uid="{863DD64F-B39D-4C0C-8E9D-8E1172D9CFFF}" cache="Slicer_Education" caption="Education" rowHeight="234950"/>
  <slicer name="Region" xr10:uid="{F9192D3A-CACA-4958-8C76-993CC30C469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5" workbookViewId="0">
      <selection activeCell="J13" sqref="J13"/>
    </sheetView>
  </sheetViews>
  <sheetFormatPr defaultColWidth="11.88671875" defaultRowHeight="14.4" x14ac:dyDescent="0.3"/>
  <cols>
    <col min="1" max="1" width="6" bestFit="1" customWidth="1"/>
    <col min="2" max="2" width="27.33203125" bestFit="1" customWidth="1"/>
    <col min="3" max="3" width="9.109375" bestFit="1" customWidth="1"/>
    <col min="4" max="4" width="12.5546875" style="2"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21875" bestFit="1" customWidth="1"/>
    <col min="14" max="14" width="15.5546875" bestFit="1"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35</v>
      </c>
      <c r="D2" s="2">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32</v>
      </c>
      <c r="C3" t="s">
        <v>34</v>
      </c>
      <c r="D3" s="2">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32</v>
      </c>
      <c r="C4" t="s">
        <v>34</v>
      </c>
      <c r="D4" s="2">
        <v>80000</v>
      </c>
      <c r="E4">
        <v>5</v>
      </c>
      <c r="F4" t="s">
        <v>19</v>
      </c>
      <c r="G4" t="s">
        <v>21</v>
      </c>
      <c r="H4" t="s">
        <v>18</v>
      </c>
      <c r="I4">
        <v>2</v>
      </c>
      <c r="J4" t="s">
        <v>22</v>
      </c>
      <c r="K4" t="s">
        <v>17</v>
      </c>
      <c r="L4">
        <v>60</v>
      </c>
      <c r="M4" t="str">
        <f t="shared" si="0"/>
        <v>Old</v>
      </c>
      <c r="N4" t="s">
        <v>18</v>
      </c>
    </row>
    <row r="5" spans="1:14" x14ac:dyDescent="0.3">
      <c r="A5">
        <v>24381</v>
      </c>
      <c r="B5" t="s">
        <v>33</v>
      </c>
      <c r="C5" t="s">
        <v>34</v>
      </c>
      <c r="D5" s="2">
        <v>70000</v>
      </c>
      <c r="E5">
        <v>0</v>
      </c>
      <c r="F5" t="s">
        <v>13</v>
      </c>
      <c r="G5" t="s">
        <v>21</v>
      </c>
      <c r="H5" t="s">
        <v>15</v>
      </c>
      <c r="I5">
        <v>1</v>
      </c>
      <c r="J5" t="s">
        <v>23</v>
      </c>
      <c r="K5" t="s">
        <v>24</v>
      </c>
      <c r="L5">
        <v>41</v>
      </c>
      <c r="M5" t="str">
        <f t="shared" si="0"/>
        <v>Middle age</v>
      </c>
      <c r="N5" t="s">
        <v>15</v>
      </c>
    </row>
    <row r="6" spans="1:14" x14ac:dyDescent="0.3">
      <c r="A6">
        <v>25597</v>
      </c>
      <c r="B6" t="s">
        <v>33</v>
      </c>
      <c r="C6" t="s">
        <v>34</v>
      </c>
      <c r="D6" s="2">
        <v>30000</v>
      </c>
      <c r="E6">
        <v>0</v>
      </c>
      <c r="F6" t="s">
        <v>13</v>
      </c>
      <c r="G6" t="s">
        <v>20</v>
      </c>
      <c r="H6" t="s">
        <v>18</v>
      </c>
      <c r="I6">
        <v>0</v>
      </c>
      <c r="J6" t="s">
        <v>16</v>
      </c>
      <c r="K6" t="s">
        <v>17</v>
      </c>
      <c r="L6">
        <v>36</v>
      </c>
      <c r="M6" t="str">
        <f t="shared" si="0"/>
        <v>Middle age</v>
      </c>
      <c r="N6" t="s">
        <v>15</v>
      </c>
    </row>
    <row r="7" spans="1:14" x14ac:dyDescent="0.3">
      <c r="A7">
        <v>13507</v>
      </c>
      <c r="B7" t="s">
        <v>32</v>
      </c>
      <c r="C7" t="s">
        <v>35</v>
      </c>
      <c r="D7" s="2">
        <v>10000</v>
      </c>
      <c r="E7">
        <v>2</v>
      </c>
      <c r="F7" t="s">
        <v>19</v>
      </c>
      <c r="G7" t="s">
        <v>25</v>
      </c>
      <c r="H7" t="s">
        <v>15</v>
      </c>
      <c r="I7">
        <v>0</v>
      </c>
      <c r="J7" t="s">
        <v>26</v>
      </c>
      <c r="K7" t="s">
        <v>17</v>
      </c>
      <c r="L7">
        <v>50</v>
      </c>
      <c r="M7" t="str">
        <f t="shared" si="0"/>
        <v>Middle age</v>
      </c>
      <c r="N7" t="s">
        <v>18</v>
      </c>
    </row>
    <row r="8" spans="1:14" x14ac:dyDescent="0.3">
      <c r="A8">
        <v>27974</v>
      </c>
      <c r="B8" t="s">
        <v>33</v>
      </c>
      <c r="C8" t="s">
        <v>34</v>
      </c>
      <c r="D8" s="2">
        <v>160000</v>
      </c>
      <c r="E8">
        <v>2</v>
      </c>
      <c r="F8" t="s">
        <v>27</v>
      </c>
      <c r="G8" t="s">
        <v>28</v>
      </c>
      <c r="H8" t="s">
        <v>15</v>
      </c>
      <c r="I8">
        <v>4</v>
      </c>
      <c r="J8" t="s">
        <v>16</v>
      </c>
      <c r="K8" t="s">
        <v>24</v>
      </c>
      <c r="L8">
        <v>33</v>
      </c>
      <c r="M8" t="str">
        <f t="shared" si="0"/>
        <v>Middle age</v>
      </c>
      <c r="N8" t="s">
        <v>15</v>
      </c>
    </row>
    <row r="9" spans="1:14" x14ac:dyDescent="0.3">
      <c r="A9">
        <v>19364</v>
      </c>
      <c r="B9" t="s">
        <v>32</v>
      </c>
      <c r="C9" t="s">
        <v>34</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35</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34</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34</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2">
        <v>80000</v>
      </c>
      <c r="E57">
        <v>4</v>
      </c>
      <c r="F57" t="s">
        <v>27</v>
      </c>
      <c r="G57" t="s">
        <v>21</v>
      </c>
      <c r="H57" t="s">
        <v>15</v>
      </c>
      <c r="I57">
        <v>2</v>
      </c>
      <c r="J57" t="s">
        <v>42</v>
      </c>
      <c r="K57" t="s">
        <v>17</v>
      </c>
      <c r="L57">
        <v>54</v>
      </c>
      <c r="M57" t="str">
        <f t="shared" si="0"/>
        <v>Middle age</v>
      </c>
      <c r="N57" t="s">
        <v>18</v>
      </c>
    </row>
    <row r="58" spans="1:14" x14ac:dyDescent="0.3">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2">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35</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2">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34</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2">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35</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34</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35</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35</v>
      </c>
      <c r="D195" s="2">
        <v>70000</v>
      </c>
      <c r="E195">
        <v>5</v>
      </c>
      <c r="F195" t="s">
        <v>13</v>
      </c>
      <c r="G195" t="s">
        <v>21</v>
      </c>
      <c r="H195" t="s">
        <v>15</v>
      </c>
      <c r="I195">
        <v>4</v>
      </c>
      <c r="J195" t="s">
        <v>42</v>
      </c>
      <c r="K195" t="s">
        <v>24</v>
      </c>
      <c r="L195">
        <v>41</v>
      </c>
      <c r="M195" t="str">
        <f t="shared" ref="M195:M258" si="3">IF(L195&gt;=55,"Old",IF(L195&gt;=31,"Middle age",IF(L195&lt;31,"Adolescent","Invalid")))</f>
        <v>Middle age</v>
      </c>
      <c r="N195" t="s">
        <v>18</v>
      </c>
    </row>
    <row r="196" spans="1:14" x14ac:dyDescent="0.3">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34</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35</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35</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34</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2">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2">
        <v>50000</v>
      </c>
      <c r="E259">
        <v>0</v>
      </c>
      <c r="F259" t="s">
        <v>30</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33</v>
      </c>
      <c r="C260" t="s">
        <v>35</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2">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2">
        <v>160000</v>
      </c>
      <c r="E323">
        <v>0</v>
      </c>
      <c r="F323" t="s">
        <v>30</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35</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34</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34</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34</v>
      </c>
      <c r="D361" s="2">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2">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34</v>
      </c>
      <c r="D384" s="2">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2">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33</v>
      </c>
      <c r="C388" t="s">
        <v>35</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2">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34</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34</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35</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2">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34</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35</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34</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2">
        <v>60000</v>
      </c>
      <c r="E515">
        <v>4</v>
      </c>
      <c r="F515" t="s">
        <v>30</v>
      </c>
      <c r="G515" t="s">
        <v>28</v>
      </c>
      <c r="H515" t="s">
        <v>15</v>
      </c>
      <c r="I515">
        <v>2</v>
      </c>
      <c r="J515" t="s">
        <v>42</v>
      </c>
      <c r="K515" t="s">
        <v>31</v>
      </c>
      <c r="L515">
        <v>61</v>
      </c>
      <c r="M515" t="str">
        <f t="shared" ref="M515:M578" si="8">IF(L515&gt;=55,"Old",IF(L515&gt;=31,"Middle age",IF(L515&lt;31,"Adolescent","Invalid")))</f>
        <v>Old</v>
      </c>
      <c r="N515" t="s">
        <v>15</v>
      </c>
    </row>
    <row r="516" spans="1:14" x14ac:dyDescent="0.3">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34</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34</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34</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34</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34</v>
      </c>
      <c r="D554" s="2">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34</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2">
        <v>120000</v>
      </c>
      <c r="E579">
        <v>1</v>
      </c>
      <c r="F579" t="s">
        <v>13</v>
      </c>
      <c r="G579" t="s">
        <v>28</v>
      </c>
      <c r="H579" t="s">
        <v>15</v>
      </c>
      <c r="I579">
        <v>4</v>
      </c>
      <c r="J579" t="s">
        <v>16</v>
      </c>
      <c r="K579" t="s">
        <v>31</v>
      </c>
      <c r="L579">
        <v>38</v>
      </c>
      <c r="M579" t="str">
        <f t="shared" ref="M579:M642" si="9">IF(L579&gt;=55,"Old",IF(L579&gt;=31,"Middle age",IF(L579&lt;31,"Adolescent","Invalid")))</f>
        <v>Middle age</v>
      </c>
      <c r="N579" t="s">
        <v>18</v>
      </c>
    </row>
    <row r="580" spans="1:14" x14ac:dyDescent="0.3">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34</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34</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35</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35</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34</v>
      </c>
      <c r="D643" s="2">
        <v>50000</v>
      </c>
      <c r="E643">
        <v>4</v>
      </c>
      <c r="F643" t="s">
        <v>13</v>
      </c>
      <c r="G643" t="s">
        <v>28</v>
      </c>
      <c r="H643" t="s">
        <v>15</v>
      </c>
      <c r="I643">
        <v>2</v>
      </c>
      <c r="J643" t="s">
        <v>42</v>
      </c>
      <c r="K643" t="s">
        <v>31</v>
      </c>
      <c r="L643">
        <v>64</v>
      </c>
      <c r="M643" t="str">
        <f t="shared" ref="M643:M706" si="10">IF(L643&gt;=55,"Old",IF(L643&gt;=31,"Middle age",IF(L643&lt;31,"Adolescent","Invalid")))</f>
        <v>Old</v>
      </c>
      <c r="N643" t="s">
        <v>18</v>
      </c>
    </row>
    <row r="644" spans="1:14" x14ac:dyDescent="0.3">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34</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34</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2">
        <v>70000</v>
      </c>
      <c r="E707">
        <v>4</v>
      </c>
      <c r="F707" t="s">
        <v>13</v>
      </c>
      <c r="G707" t="s">
        <v>28</v>
      </c>
      <c r="H707" t="s">
        <v>15</v>
      </c>
      <c r="I707">
        <v>1</v>
      </c>
      <c r="J707" t="s">
        <v>42</v>
      </c>
      <c r="K707" t="s">
        <v>31</v>
      </c>
      <c r="L707">
        <v>59</v>
      </c>
      <c r="M707" t="str">
        <f t="shared" ref="M707:M770" si="11">IF(L707&gt;=55,"Old",IF(L707&gt;=31,"Middle age",IF(L707&lt;31,"Adolescent","Invalid")))</f>
        <v>Old</v>
      </c>
      <c r="N707" t="s">
        <v>18</v>
      </c>
    </row>
    <row r="708" spans="1:14" x14ac:dyDescent="0.3">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35</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2">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34</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2">
        <v>100000</v>
      </c>
      <c r="E771">
        <v>4</v>
      </c>
      <c r="F771" t="s">
        <v>13</v>
      </c>
      <c r="G771" t="s">
        <v>28</v>
      </c>
      <c r="H771" t="s">
        <v>15</v>
      </c>
      <c r="I771">
        <v>4</v>
      </c>
      <c r="J771" t="s">
        <v>16</v>
      </c>
      <c r="K771" t="s">
        <v>31</v>
      </c>
      <c r="L771">
        <v>40</v>
      </c>
      <c r="M771" t="str">
        <f t="shared" ref="M771:M834" si="12">IF(L771&gt;=55,"Old",IF(L771&gt;=31,"Middle age",IF(L771&lt;31,"Adolescent","Invalid")))</f>
        <v>Middle age</v>
      </c>
      <c r="N771" t="s">
        <v>18</v>
      </c>
    </row>
    <row r="772" spans="1:14" x14ac:dyDescent="0.3">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34</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2">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34</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34</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35</v>
      </c>
      <c r="D815" s="2">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34</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2">
        <v>70000</v>
      </c>
      <c r="E835">
        <v>0</v>
      </c>
      <c r="F835" t="s">
        <v>13</v>
      </c>
      <c r="G835" t="s">
        <v>21</v>
      </c>
      <c r="H835" t="s">
        <v>18</v>
      </c>
      <c r="I835">
        <v>1</v>
      </c>
      <c r="J835" t="s">
        <v>16</v>
      </c>
      <c r="K835" t="s">
        <v>31</v>
      </c>
      <c r="L835">
        <v>37</v>
      </c>
      <c r="M835" t="str">
        <f t="shared" ref="M835:M898" si="13">IF(L835&gt;=55,"Old",IF(L835&gt;=31,"Middle age",IF(L835&lt;31,"Adolescent","Invalid")))</f>
        <v>Middle age</v>
      </c>
      <c r="N835" t="s">
        <v>15</v>
      </c>
    </row>
    <row r="836" spans="1:14" x14ac:dyDescent="0.3">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2">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2">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2">
        <v>30000</v>
      </c>
      <c r="E899">
        <v>0</v>
      </c>
      <c r="F899" t="s">
        <v>29</v>
      </c>
      <c r="G899" t="s">
        <v>20</v>
      </c>
      <c r="H899" t="s">
        <v>18</v>
      </c>
      <c r="I899">
        <v>2</v>
      </c>
      <c r="J899" t="s">
        <v>16</v>
      </c>
      <c r="K899" t="s">
        <v>31</v>
      </c>
      <c r="L899">
        <v>28</v>
      </c>
      <c r="M899" t="str">
        <f t="shared" ref="M899:M962" si="14">IF(L899&gt;=55,"Old",IF(L899&gt;=31,"Middle age",IF(L899&lt;31,"Adolescent","Invalid")))</f>
        <v>Adolescent</v>
      </c>
      <c r="N899" t="s">
        <v>18</v>
      </c>
    </row>
    <row r="900" spans="1:14" x14ac:dyDescent="0.3">
      <c r="A900">
        <v>18066</v>
      </c>
      <c r="B900" t="s">
        <v>33</v>
      </c>
      <c r="C900" t="s">
        <v>34</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35</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2">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2">
        <v>120000</v>
      </c>
      <c r="E963">
        <v>2</v>
      </c>
      <c r="F963" t="s">
        <v>13</v>
      </c>
      <c r="G963" t="s">
        <v>28</v>
      </c>
      <c r="H963" t="s">
        <v>15</v>
      </c>
      <c r="I963">
        <v>3</v>
      </c>
      <c r="J963" t="s">
        <v>23</v>
      </c>
      <c r="K963" t="s">
        <v>31</v>
      </c>
      <c r="L963">
        <v>62</v>
      </c>
      <c r="M963" t="str">
        <f t="shared" ref="M963:M1001" si="15">IF(L963&gt;=55,"Old",IF(L963&gt;=31,"Middle age",IF(L963&lt;31,"Adolescent","Invalid")))</f>
        <v>Old</v>
      </c>
      <c r="N963" t="s">
        <v>18</v>
      </c>
    </row>
    <row r="964" spans="1:14" x14ac:dyDescent="0.3">
      <c r="A964">
        <v>16813</v>
      </c>
      <c r="B964" t="s">
        <v>32</v>
      </c>
      <c r="C964" t="s">
        <v>34</v>
      </c>
      <c r="D964" s="2">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34</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34</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35</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34</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34</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35</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1B88F-60E2-4CCD-A716-06FA8FA18F3C}">
  <dimension ref="A4:D50"/>
  <sheetViews>
    <sheetView topLeftCell="A10" workbookViewId="0">
      <selection activeCell="E41" sqref="E41"/>
    </sheetView>
  </sheetViews>
  <sheetFormatPr defaultRowHeight="14.4" x14ac:dyDescent="0.3"/>
  <cols>
    <col min="1" max="1" width="17" bestFit="1" customWidth="1"/>
    <col min="2" max="2" width="15.5546875" bestFit="1" customWidth="1"/>
    <col min="3" max="4" width="11.21875" bestFit="1" customWidth="1"/>
  </cols>
  <sheetData>
    <row r="4" spans="1:4" x14ac:dyDescent="0.3">
      <c r="A4" s="3" t="s">
        <v>39</v>
      </c>
      <c r="B4" s="3" t="s">
        <v>40</v>
      </c>
    </row>
    <row r="5" spans="1:4" x14ac:dyDescent="0.3">
      <c r="A5" s="3" t="s">
        <v>37</v>
      </c>
      <c r="B5" t="s">
        <v>18</v>
      </c>
      <c r="C5" t="s">
        <v>15</v>
      </c>
      <c r="D5" t="s">
        <v>38</v>
      </c>
    </row>
    <row r="6" spans="1:4" x14ac:dyDescent="0.3">
      <c r="A6" s="4" t="s">
        <v>35</v>
      </c>
      <c r="B6" s="2">
        <v>53440</v>
      </c>
      <c r="C6" s="2">
        <v>55774.058577405856</v>
      </c>
      <c r="D6" s="2">
        <v>54580.777096114522</v>
      </c>
    </row>
    <row r="7" spans="1:4" x14ac:dyDescent="0.3">
      <c r="A7" s="4" t="s">
        <v>34</v>
      </c>
      <c r="B7" s="2">
        <v>56208.178438661707</v>
      </c>
      <c r="C7" s="2">
        <v>60123.966942148763</v>
      </c>
      <c r="D7" s="2">
        <v>58062.62230919765</v>
      </c>
    </row>
    <row r="8" spans="1:4" x14ac:dyDescent="0.3">
      <c r="A8" s="4" t="s">
        <v>38</v>
      </c>
      <c r="B8" s="2">
        <v>54874.759152215796</v>
      </c>
      <c r="C8" s="2">
        <v>57962.577962577961</v>
      </c>
      <c r="D8" s="2">
        <v>56360</v>
      </c>
    </row>
    <row r="23" spans="1:4" x14ac:dyDescent="0.3">
      <c r="A23" s="3" t="s">
        <v>41</v>
      </c>
      <c r="B23" s="3" t="s">
        <v>40</v>
      </c>
    </row>
    <row r="24" spans="1:4" x14ac:dyDescent="0.3">
      <c r="A24" s="3" t="s">
        <v>37</v>
      </c>
      <c r="B24" t="s">
        <v>18</v>
      </c>
      <c r="C24" t="s">
        <v>15</v>
      </c>
      <c r="D24" t="s">
        <v>38</v>
      </c>
    </row>
    <row r="25" spans="1:4" x14ac:dyDescent="0.3">
      <c r="A25" s="4" t="s">
        <v>16</v>
      </c>
      <c r="B25" s="5">
        <v>166</v>
      </c>
      <c r="C25" s="5">
        <v>200</v>
      </c>
      <c r="D25" s="5">
        <v>366</v>
      </c>
    </row>
    <row r="26" spans="1:4" x14ac:dyDescent="0.3">
      <c r="A26" s="4" t="s">
        <v>26</v>
      </c>
      <c r="B26" s="5">
        <v>92</v>
      </c>
      <c r="C26" s="5">
        <v>77</v>
      </c>
      <c r="D26" s="5">
        <v>169</v>
      </c>
    </row>
    <row r="27" spans="1:4" x14ac:dyDescent="0.3">
      <c r="A27" s="4" t="s">
        <v>22</v>
      </c>
      <c r="B27" s="5">
        <v>67</v>
      </c>
      <c r="C27" s="5">
        <v>95</v>
      </c>
      <c r="D27" s="5">
        <v>162</v>
      </c>
    </row>
    <row r="28" spans="1:4" x14ac:dyDescent="0.3">
      <c r="A28" s="4" t="s">
        <v>23</v>
      </c>
      <c r="B28" s="5">
        <v>116</v>
      </c>
      <c r="C28" s="5">
        <v>76</v>
      </c>
      <c r="D28" s="5">
        <v>192</v>
      </c>
    </row>
    <row r="29" spans="1:4" x14ac:dyDescent="0.3">
      <c r="A29" s="4" t="s">
        <v>42</v>
      </c>
      <c r="B29" s="5">
        <v>78</v>
      </c>
      <c r="C29" s="5">
        <v>33</v>
      </c>
      <c r="D29" s="5">
        <v>111</v>
      </c>
    </row>
    <row r="30" spans="1:4" x14ac:dyDescent="0.3">
      <c r="A30" s="4" t="s">
        <v>38</v>
      </c>
      <c r="B30" s="5">
        <v>519</v>
      </c>
      <c r="C30" s="5">
        <v>481</v>
      </c>
      <c r="D30" s="5">
        <v>1000</v>
      </c>
    </row>
    <row r="45" spans="1:4" x14ac:dyDescent="0.3">
      <c r="A45" s="3" t="s">
        <v>41</v>
      </c>
      <c r="B45" s="3" t="s">
        <v>40</v>
      </c>
    </row>
    <row r="46" spans="1:4" x14ac:dyDescent="0.3">
      <c r="A46" s="3" t="s">
        <v>37</v>
      </c>
      <c r="B46" t="s">
        <v>18</v>
      </c>
      <c r="C46" t="s">
        <v>15</v>
      </c>
      <c r="D46" t="s">
        <v>38</v>
      </c>
    </row>
    <row r="47" spans="1:4" x14ac:dyDescent="0.3">
      <c r="A47" s="4" t="s">
        <v>43</v>
      </c>
      <c r="B47" s="5">
        <v>71</v>
      </c>
      <c r="C47" s="5">
        <v>39</v>
      </c>
      <c r="D47" s="5">
        <v>110</v>
      </c>
    </row>
    <row r="48" spans="1:4" x14ac:dyDescent="0.3">
      <c r="A48" s="4" t="s">
        <v>44</v>
      </c>
      <c r="B48" s="5">
        <v>318</v>
      </c>
      <c r="C48" s="5">
        <v>383</v>
      </c>
      <c r="D48" s="5">
        <v>701</v>
      </c>
    </row>
    <row r="49" spans="1:4" x14ac:dyDescent="0.3">
      <c r="A49" s="4" t="s">
        <v>45</v>
      </c>
      <c r="B49" s="5">
        <v>130</v>
      </c>
      <c r="C49" s="5">
        <v>59</v>
      </c>
      <c r="D49" s="5">
        <v>189</v>
      </c>
    </row>
    <row r="50" spans="1:4" x14ac:dyDescent="0.3">
      <c r="A50" s="4" t="s">
        <v>38</v>
      </c>
      <c r="B50" s="5">
        <v>519</v>
      </c>
      <c r="C50" s="5">
        <v>481</v>
      </c>
      <c r="D50"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DF0F-8800-45C4-A20B-5121EE4E87E1}">
  <dimension ref="A1:O8"/>
  <sheetViews>
    <sheetView showGridLines="0" tabSelected="1" zoomScale="80" zoomScaleNormal="80" workbookViewId="0">
      <selection activeCell="R34" sqref="R34"/>
    </sheetView>
  </sheetViews>
  <sheetFormatPr defaultRowHeight="14.4" x14ac:dyDescent="0.3"/>
  <sheetData>
    <row r="1" spans="1:15" x14ac:dyDescent="0.3">
      <c r="A1" s="8" t="s">
        <v>46</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8" spans="1:15" x14ac:dyDescent="0.3">
      <c r="J8"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Rabi Ali</dc:creator>
  <cp:lastModifiedBy>Rabi Ali</cp:lastModifiedBy>
  <dcterms:created xsi:type="dcterms:W3CDTF">2022-03-18T02:50:57Z</dcterms:created>
  <dcterms:modified xsi:type="dcterms:W3CDTF">2026-07-09T10:06:56Z</dcterms:modified>
</cp:coreProperties>
</file>